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ự toán" sheetId="1" r:id="rId1"/>
    <sheet name="Ghi chú công thức" sheetId="2" r:id="rId2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0%"/>
  </numFmts>
  <fonts count="8">
    <font>
      <sz val="10"/>
      <color rgb="FF1B2A30"/>
      <name val="Arial"/>
      <family val="2"/>
    </font>
    <font>
      <b/>
      <sz val="14"/>
      <color rgb="FF00718A"/>
      <name val="Arial"/>
      <family val="2"/>
    </font>
    <font>
      <i/>
      <sz val="10"/>
      <color rgb="FF5D727A"/>
      <name val="Arial"/>
      <family val="2"/>
    </font>
    <font>
      <b/>
      <sz val="10"/>
      <color rgb="FF0087A0"/>
      <name val="Arial"/>
      <family val="2"/>
    </font>
    <font>
      <b/>
      <sz val="10"/>
      <color rgb="FFFFFFFF"/>
      <name val="Arial"/>
      <family val="2"/>
    </font>
    <font>
      <b/>
      <sz val="10"/>
      <color rgb="FF1B2A3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8F7FB"/>
        <bgColor indexed="64"/>
      </patternFill>
    </fill>
    <fill>
      <patternFill patternType="solid">
        <fgColor rgb="FF00AAC9"/>
        <bgColor indexed="64"/>
      </patternFill>
    </fill>
    <fill>
      <patternFill patternType="solid">
        <fgColor rgb="FFD5EEF3"/>
        <bgColor indexed="64"/>
      </patternFill>
    </fill>
    <fill>
      <patternFill patternType="solid">
        <fgColor rgb="FFF4FAFB"/>
        <bgColor indexed="64"/>
      </patternFill>
    </fill>
    <fill>
      <patternFill patternType="solid">
        <fgColor rgb="FFFFF4D6"/>
        <bgColor indexed="64"/>
      </patternFill>
    </fill>
  </fills>
  <borders count="2">
    <border>
      <left/>
      <right/>
      <top/>
      <bottom/>
      <diagonal/>
    </border>
    <border>
      <left style="thin">
        <color rgb="FFB7C7CC"/>
      </left>
      <right style="thin">
        <color rgb="FFB7C7CC"/>
      </right>
      <top style="thin">
        <color rgb="FFB7C7CC"/>
      </top>
      <bottom style="thin">
        <color rgb="FFB7C7CC"/>
      </bottom>
      <diagonal/>
    </border>
  </borders>
  <cellStyleXfs count="1">
    <xf numFmtId="0" fontId="0" fillId="0" borderId="0"/>
  </cellStyleXfs>
  <cellXfs count="26">
    <xf numFmtId="0" fontId="0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/>
    <xf numFmtId="0" fontId="0" fillId="0" borderId="1" xfId="0" applyNumberFormat="1" applyFont="1" applyFill="1" applyBorder="1"/>
    <xf numFmtId="3" fontId="0" fillId="0" borderId="1" xfId="0" applyNumberFormat="1" applyFont="1" applyFill="1" applyBorder="1" applyAlignment="1">
      <alignment horizontal="right" vertical="center"/>
    </xf>
    <xf numFmtId="0" fontId="0" fillId="0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/>
    <xf numFmtId="0" fontId="5" fillId="0" borderId="1" xfId="0" applyNumberFormat="1" applyFont="1" applyFill="1" applyBorder="1" applyAlignment="1">
      <alignment horizontal="left" vertical="top"/>
    </xf>
    <xf numFmtId="0" fontId="0" fillId="0" borderId="1" xfId="0" applyNumberFormat="1" applyFont="1" applyFill="1" applyBorder="1" applyAlignment="1">
      <alignment horizontal="left" vertical="center" wrapText="1"/>
    </xf>
    <xf numFmtId="164" fontId="0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0" fontId="5" fillId="6" borderId="1" xfId="0" applyNumberFormat="1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3" fontId="6" fillId="0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/>
    <xf numFmtId="0" fontId="0" fillId="3" borderId="1" xfId="0" applyNumberFormat="1" applyFont="1" applyFill="1" applyBorder="1" applyAlignment="1">
      <alignment horizontal="left" vertical="center" wrapText="1"/>
    </xf>
    <xf numFmtId="0" fontId="3" fillId="2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ySplit="11" topLeftCell="A12" activePane="bottomLeft" state="frozen"/>
    </sheetView>
  </sheetViews>
  <sheetFormatPr defaultRowHeight="15"/>
  <cols>
    <col min="1" max="1" width="11.5" customWidth="1"/>
    <col min="2" max="2" width="2" customWidth="1"/>
    <col min="3" max="3" width="11" customWidth="1"/>
    <col min="4" max="4" width="33" customWidth="1"/>
    <col min="5" max="5" width="7" customWidth="1"/>
    <col min="6" max="6" width="7" customWidth="1"/>
    <col min="7" max="7" width="9" customWidth="1"/>
    <col min="8" max="8" width="13" customWidth="1"/>
    <col min="9" max="9" width="5" customWidth="1"/>
    <col min="10" max="10" width="15" customWidth="1"/>
    <col min="11" max="11" width="15" customWidth="1"/>
    <col min="12" max="12" width="11" customWidth="1"/>
    <col min="13" max="13" width="12" customWidth="1"/>
  </cols>
  <sheetData>
    <row r="1" ht="26" customHeight="1">
      <c r="A1" s="1" t="inlineStr">
        <is>
          <t xml:space="preserve">BẢNG DỰ TOÁN K76.A14 – Quy Nhơn – Phú Yên – 33 KHÁCH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>
      <c r="A2" s="2" t="inlineStr">
        <is>
          <t xml:space="preserve">LẤY HÓA ĐƠN VAT · SALES: Nguyễn A · ĐIỀU HÀNH: Nguyễn B · THIẾT KẾ: Nguyễn C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inlineStr">
        <is>
          <t xml:space="preserve">Mã đoàn</t>
        </is>
      </c>
      <c r="B3" s="4" t="inlineStr">
        <is>
          <t xml:space="preserve">K76.A14</t>
        </is>
      </c>
      <c r="C3" s="4"/>
      <c r="D3" s="4"/>
      <c r="E3" s="3" t="inlineStr">
        <is>
          <t xml:space="preserve">Pax</t>
        </is>
      </c>
      <c r="F3" s="5">
        <f>SUM(F4:F6)</f>
        <v>33</v>
      </c>
      <c r="H3" s="3" t="inlineStr">
        <is>
          <t xml:space="preserve">Management</t>
        </is>
      </c>
      <c r="I3" s="3"/>
      <c r="J3" s="3" t="inlineStr">
        <is>
          <t xml:space="preserve">TL/HDV</t>
        </is>
      </c>
      <c r="K3" s="3" t="inlineStr">
        <is>
          <t xml:space="preserve">Nhà xe</t>
        </is>
      </c>
    </row>
    <row r="4">
      <c r="A4" s="3" t="inlineStr">
        <is>
          <t xml:space="preserve">Tên tour</t>
        </is>
      </c>
      <c r="B4" s="4" t="inlineStr">
        <is>
          <t xml:space="preserve">Quy Nhơn – Phú Yên</t>
        </is>
      </c>
      <c r="C4" s="4"/>
      <c r="D4" s="4"/>
      <c r="E4" s="3" t="inlineStr">
        <is>
          <t xml:space="preserve">ADL</t>
        </is>
      </c>
      <c r="F4" s="5">
        <v>33</v>
      </c>
      <c r="H4" s="6">
        <v>0</v>
      </c>
      <c r="I4" s="4"/>
      <c r="J4" s="6">
        <v>2</v>
      </c>
      <c r="K4" s="6">
        <v>1</v>
      </c>
    </row>
    <row r="5">
      <c r="A5" s="3" t="inlineStr">
        <is>
          <t xml:space="preserve">Tuyến</t>
        </is>
      </c>
      <c r="B5" s="4" t="inlineStr">
        <is>
          <t xml:space="preserve">HCM – Phú Yên – Quy Nhơn – HCM</t>
        </is>
      </c>
      <c r="C5" s="4"/>
      <c r="D5" s="4"/>
      <c r="E5" s="3" t="inlineStr">
        <is>
          <t xml:space="preserve">CHD</t>
        </is>
      </c>
      <c r="F5" s="5">
        <v>0</v>
      </c>
    </row>
    <row r="6">
      <c r="A6" s="3" t="inlineStr">
        <is>
          <t xml:space="preserve">Đối tác / Trưởng đoàn</t>
        </is>
      </c>
      <c r="B6" s="4" t="inlineStr">
        <is>
          <t xml:space="preserve">Trần Văn Bình</t>
        </is>
      </c>
      <c r="C6" s="4"/>
      <c r="D6" s="4"/>
      <c r="E6" s="3" t="inlineStr">
        <is>
          <t xml:space="preserve">INF</t>
        </is>
      </c>
      <c r="F6" s="5">
        <v>0</v>
      </c>
      <c r="H6" s="3" t="inlineStr">
        <is>
          <t xml:space="preserve">Mức quy định độ tuổi trẻ em</t>
        </is>
      </c>
      <c r="I6" s="3"/>
      <c r="J6" s="3"/>
    </row>
    <row r="7">
      <c r="A7" s="3" t="inlineStr">
        <is>
          <t xml:space="preserve">Số ngày</t>
        </is>
      </c>
      <c r="B7" s="6">
        <v>4</v>
      </c>
      <c r="C7" s="3" t="inlineStr">
        <is>
          <t xml:space="preserve">Khởi hành</t>
        </is>
      </c>
      <c r="D7" s="4" t="inlineStr">
        <is>
          <t xml:space="preserve">ĐÊM 26/11/2026</t>
        </is>
      </c>
      <c r="H7" s="4" t="inlineStr">
        <is>
          <t xml:space="preserve">0 - &lt;5 tuổi</t>
        </is>
      </c>
      <c r="I7" s="4"/>
      <c r="J7" s="4" t="inlineStr">
        <is>
          <t xml:space="preserve">Em bé (INF)</t>
        </is>
      </c>
    </row>
    <row r="8">
      <c r="A8" s="3" t="inlineStr">
        <is>
          <t xml:space="preserve">Số đêm</t>
        </is>
      </c>
      <c r="B8" s="6">
        <v>4</v>
      </c>
      <c r="C8" s="3" t="inlineStr">
        <is>
          <t xml:space="preserve">Kết thúc</t>
        </is>
      </c>
      <c r="D8" s="4" t="inlineStr">
        <is>
          <t xml:space="preserve">30/11/2026</t>
        </is>
      </c>
      <c r="H8" s="4" t="inlineStr">
        <is>
          <t xml:space="preserve">5 - 11 tuổi</t>
        </is>
      </c>
      <c r="I8" s="4"/>
      <c r="J8" s="4" t="inlineStr">
        <is>
          <t xml:space="preserve">Trẻ em (CHD)</t>
        </is>
      </c>
    </row>
    <row r="10">
      <c r="A10" s="7" t="inlineStr">
        <is>
          <t xml:space="preserve">Diễn giải</t>
        </is>
      </c>
      <c r="B10" s="7"/>
      <c r="C10" s="7"/>
      <c r="D10" s="7"/>
      <c r="E10" s="7"/>
      <c r="F10" s="7" t="inlineStr">
        <is>
          <t xml:space="preserve">SL</t>
        </is>
      </c>
      <c r="G10" s="7" t="inlineStr">
        <is>
          <t xml:space="preserve">ĐV</t>
        </is>
      </c>
      <c r="H10" s="7" t="inlineStr">
        <is>
          <t xml:space="preserve">Giá vốn</t>
        </is>
      </c>
      <c r="I10" s="7" t="inlineStr">
        <is>
          <t xml:space="preserve">HS</t>
        </is>
      </c>
      <c r="J10" s="7" t="inlineStr">
        <is>
          <t xml:space="preserve">Người lớn</t>
        </is>
      </c>
      <c r="K10" s="7" t="inlineStr">
        <is>
          <t xml:space="preserve">TE</t>
        </is>
      </c>
      <c r="L10" s="7" t="inlineStr">
        <is>
          <t xml:space="preserve">INF</t>
        </is>
      </c>
      <c r="M10" s="7" t="inlineStr">
        <is>
          <t xml:space="preserve">VAT</t>
        </is>
      </c>
    </row>
    <row r="11">
      <c r="A11" s="7"/>
      <c r="B11" s="7"/>
      <c r="C11" s="7"/>
      <c r="D11" s="7"/>
      <c r="E11" s="7"/>
      <c r="F11" s="7"/>
      <c r="G11" s="7"/>
      <c r="H11" s="7" t="inlineStr">
        <is>
          <t xml:space="preserve">VNĐ</t>
        </is>
      </c>
      <c r="I11" s="7"/>
      <c r="J11" s="7" t="inlineStr">
        <is>
          <t xml:space="preserve">ROH</t>
        </is>
      </c>
      <c r="K11" s="8">
        <v>0.5</v>
      </c>
      <c r="L11" s="7" t="inlineStr">
        <is>
          <t xml:space="preserve">miễn phí</t>
        </is>
      </c>
      <c r="M11" s="7"/>
    </row>
    <row r="12">
      <c r="A12" s="9" t="inlineStr">
        <is>
          <t xml:space="preserve">NHÀ HÀNG</t>
        </is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>
      <c r="A13" s="10" t="inlineStr">
        <is>
          <t xml:space="preserve">Ngày 2</t>
        </is>
      </c>
      <c r="B13" s="11" t="inlineStr">
        <is>
          <t xml:space="preserve">Ăn tối 27/11</t>
        </is>
      </c>
      <c r="C13" s="11"/>
      <c r="D13" s="11"/>
      <c r="E13" s="11"/>
      <c r="F13" s="12">
        <v>33</v>
      </c>
      <c r="G13" s="6" t="inlineStr">
        <is>
          <t xml:space="preserve">Pax</t>
        </is>
      </c>
      <c r="H13" s="5">
        <v>216000</v>
      </c>
      <c r="I13" s="12">
        <v>1</v>
      </c>
      <c r="J13" s="5">
        <f>F13*H13*I13</f>
        <v>7128000</v>
      </c>
      <c r="K13" s="5"/>
      <c r="L13" s="5"/>
      <c r="M13" s="6" t="inlineStr">
        <is>
          <t xml:space="preserve">VAT</t>
        </is>
      </c>
    </row>
    <row r="14">
      <c r="A14" s="10" t="inlineStr">
        <is>
          <t xml:space="preserve">Ngày 3</t>
        </is>
      </c>
      <c r="B14" s="11" t="inlineStr">
        <is>
          <t xml:space="preserve">Ăn trưa Kỳ Co</t>
        </is>
      </c>
      <c r="C14" s="11"/>
      <c r="D14" s="11"/>
      <c r="E14" s="11"/>
      <c r="F14" s="12">
        <v>33</v>
      </c>
      <c r="G14" s="6" t="inlineStr">
        <is>
          <t xml:space="preserve">Pax</t>
        </is>
      </c>
      <c r="H14" s="5">
        <v>216000</v>
      </c>
      <c r="I14" s="12">
        <v>1</v>
      </c>
      <c r="J14" s="5">
        <f>F14*H14*I14</f>
        <v>7128000</v>
      </c>
      <c r="K14" s="5"/>
      <c r="L14" s="5"/>
      <c r="M14" s="6" t="inlineStr">
        <is>
          <t xml:space="preserve">VAT</t>
        </is>
      </c>
    </row>
    <row r="15">
      <c r="A15" s="10"/>
      <c r="B15" s="11" t="inlineStr">
        <is>
          <t xml:space="preserve">Ăn tối 28/11</t>
        </is>
      </c>
      <c r="C15" s="11"/>
      <c r="D15" s="11"/>
      <c r="E15" s="11"/>
      <c r="F15" s="12">
        <v>33</v>
      </c>
      <c r="G15" s="6" t="inlineStr">
        <is>
          <t xml:space="preserve">Pax</t>
        </is>
      </c>
      <c r="H15" s="5">
        <v>216000</v>
      </c>
      <c r="I15" s="12">
        <v>1</v>
      </c>
      <c r="J15" s="5">
        <f>F15*H15*I15</f>
        <v>7128000</v>
      </c>
      <c r="K15" s="5"/>
      <c r="L15" s="5"/>
      <c r="M15" s="6" t="inlineStr">
        <is>
          <t xml:space="preserve">VAT</t>
        </is>
      </c>
    </row>
    <row r="16">
      <c r="A16" s="10" t="inlineStr">
        <is>
          <t xml:space="preserve">Ngày 4</t>
        </is>
      </c>
      <c r="B16" s="11" t="inlineStr">
        <is>
          <t xml:space="preserve">Ăn trưa 29/11</t>
        </is>
      </c>
      <c r="C16" s="11"/>
      <c r="D16" s="11"/>
      <c r="E16" s="11"/>
      <c r="F16" s="12">
        <v>33</v>
      </c>
      <c r="G16" s="6" t="inlineStr">
        <is>
          <t xml:space="preserve">Pax</t>
        </is>
      </c>
      <c r="H16" s="5">
        <v>200000</v>
      </c>
      <c r="I16" s="12">
        <v>1</v>
      </c>
      <c r="J16" s="5">
        <f>F16*H16*I16</f>
        <v>6600000</v>
      </c>
      <c r="K16" s="5"/>
      <c r="L16" s="5"/>
      <c r="M16" s="6" t="inlineStr">
        <is>
          <t xml:space="preserve">VAT</t>
        </is>
      </c>
    </row>
    <row r="17">
      <c r="A17" s="9" t="inlineStr">
        <is>
          <t xml:space="preserve">PHÒNG KHÁCH SẠN</t>
        </is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>
      <c r="A18" s="10"/>
      <c r="B18" s="11" t="inlineStr">
        <is>
          <t xml:space="preserve">Twin – TUI BLUE Tuy Hòa</t>
        </is>
      </c>
      <c r="C18" s="11"/>
      <c r="D18" s="11"/>
      <c r="E18" s="11"/>
      <c r="F18" s="12">
        <v>15</v>
      </c>
      <c r="G18" s="6" t="inlineStr">
        <is>
          <t xml:space="preserve">Phòng</t>
        </is>
      </c>
      <c r="H18" s="5">
        <v>950000</v>
      </c>
      <c r="I18" s="12">
        <v>2</v>
      </c>
      <c r="J18" s="5">
        <f>F18*H18*I18</f>
        <v>28500000</v>
      </c>
      <c r="K18" s="5"/>
      <c r="L18" s="5"/>
      <c r="M18" s="6" t="inlineStr">
        <is>
          <t xml:space="preserve">VAT</t>
        </is>
      </c>
    </row>
    <row r="19">
      <c r="A19" s="10"/>
      <c r="B19" s="11" t="inlineStr">
        <is>
          <t xml:space="preserve">Triple – TUI BLUE Tuy Hòa</t>
        </is>
      </c>
      <c r="C19" s="11"/>
      <c r="D19" s="11"/>
      <c r="E19" s="11"/>
      <c r="F19" s="12">
        <v>1</v>
      </c>
      <c r="G19" s="6" t="inlineStr">
        <is>
          <t xml:space="preserve">Phòng</t>
        </is>
      </c>
      <c r="H19" s="5">
        <v>1250000</v>
      </c>
      <c r="I19" s="12">
        <v>2</v>
      </c>
      <c r="J19" s="5">
        <f>F19*H19*I19</f>
        <v>2500000</v>
      </c>
      <c r="K19" s="5"/>
      <c r="L19" s="5"/>
      <c r="M19" s="6" t="inlineStr">
        <is>
          <t xml:space="preserve">VAT</t>
        </is>
      </c>
    </row>
    <row r="20">
      <c r="A20" s="9" t="inlineStr">
        <is>
          <t xml:space="preserve">DỊCH VỤ KHÁC</t>
        </is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>
      <c r="A21" s="10"/>
      <c r="B21" s="11" t="inlineStr">
        <is>
          <t xml:space="preserve">Thuê Xe giường nằm</t>
        </is>
      </c>
      <c r="C21" s="11"/>
      <c r="D21" s="11"/>
      <c r="E21" s="11"/>
      <c r="F21" s="12">
        <v>1</v>
      </c>
      <c r="G21" s="6" t="inlineStr">
        <is>
          <t xml:space="preserve">Xe</t>
        </is>
      </c>
      <c r="H21" s="5">
        <v>36000000</v>
      </c>
      <c r="I21" s="12">
        <v>1</v>
      </c>
      <c r="J21" s="5">
        <f>F21*H21*I21</f>
        <v>36000000</v>
      </c>
      <c r="K21" s="5"/>
      <c r="L21" s="5"/>
      <c r="M21" s="6" t="inlineStr">
        <is>
          <t xml:space="preserve">KHÔNG VAT</t>
        </is>
      </c>
    </row>
    <row r="22">
      <c r="A22" s="10"/>
      <c r="B22" s="11" t="inlineStr">
        <is>
          <t xml:space="preserve">Phí cầu đường / bãi đỗ (Xe giường nằm)</t>
        </is>
      </c>
      <c r="C22" s="11"/>
      <c r="D22" s="11"/>
      <c r="E22" s="11"/>
      <c r="F22" s="12">
        <v>1</v>
      </c>
      <c r="G22" s="6" t="inlineStr">
        <is>
          <t xml:space="preserve">Đoàn</t>
        </is>
      </c>
      <c r="H22" s="5">
        <v>1500000</v>
      </c>
      <c r="I22" s="12">
        <v>1</v>
      </c>
      <c r="J22" s="5">
        <f>F22*H22*I22</f>
        <v>1500000</v>
      </c>
      <c r="K22" s="5"/>
      <c r="L22" s="5"/>
      <c r="M22" s="6" t="inlineStr">
        <is>
          <t xml:space="preserve">KHÔNG VAT</t>
        </is>
      </c>
    </row>
    <row r="23">
      <c r="A23" s="10"/>
      <c r="B23" s="11" t="inlineStr">
        <is>
          <t xml:space="preserve">Vé cano Kỳ Co</t>
        </is>
      </c>
      <c r="C23" s="11"/>
      <c r="D23" s="11"/>
      <c r="E23" s="11"/>
      <c r="F23" s="12">
        <v>33</v>
      </c>
      <c r="G23" s="6" t="inlineStr">
        <is>
          <t xml:space="preserve">Vé</t>
        </is>
      </c>
      <c r="H23" s="5">
        <v>180000</v>
      </c>
      <c r="I23" s="12">
        <v>1</v>
      </c>
      <c r="J23" s="5">
        <f>F23*H23*I23</f>
        <v>5940000</v>
      </c>
      <c r="K23" s="5"/>
      <c r="L23" s="5"/>
      <c r="M23" s="6" t="inlineStr">
        <is>
          <t xml:space="preserve">KHÔNG VAT</t>
        </is>
      </c>
    </row>
    <row r="24">
      <c r="A24" s="10"/>
      <c r="B24" s="11" t="inlineStr">
        <is>
          <t xml:space="preserve">Công tác phí HDV</t>
        </is>
      </c>
      <c r="C24" s="11"/>
      <c r="D24" s="11"/>
      <c r="E24" s="11"/>
      <c r="F24" s="12">
        <v>1</v>
      </c>
      <c r="G24" s="6" t="inlineStr">
        <is>
          <t xml:space="preserve">Đoàn</t>
        </is>
      </c>
      <c r="H24" s="5">
        <v>3000000</v>
      </c>
      <c r="I24" s="12">
        <v>1</v>
      </c>
      <c r="J24" s="5">
        <f>F24*H24*I24</f>
        <v>3000000</v>
      </c>
      <c r="K24" s="5"/>
      <c r="L24" s="5"/>
      <c r="M24" s="6" t="inlineStr">
        <is>
          <t xml:space="preserve">KHÔNG VAT</t>
        </is>
      </c>
    </row>
    <row r="25">
      <c r="A25" s="10"/>
      <c r="B25" s="11" t="inlineStr">
        <is>
          <t xml:space="preserve">Nón đoàn</t>
        </is>
      </c>
      <c r="C25" s="11"/>
      <c r="D25" s="11"/>
      <c r="E25" s="11"/>
      <c r="F25" s="12">
        <v>33</v>
      </c>
      <c r="G25" s="6" t="inlineStr">
        <is>
          <t xml:space="preserve">Bộ</t>
        </is>
      </c>
      <c r="H25" s="5">
        <v>25000</v>
      </c>
      <c r="I25" s="12">
        <v>1</v>
      </c>
      <c r="J25" s="5">
        <f>F25*H25*I25</f>
        <v>825000</v>
      </c>
      <c r="K25" s="5"/>
      <c r="L25" s="5"/>
      <c r="M25" s="6" t="inlineStr">
        <is>
          <t xml:space="preserve">KHÔNG VAT</t>
        </is>
      </c>
    </row>
    <row r="26">
      <c r="A26" s="10"/>
      <c r="B26" s="11" t="inlineStr">
        <is>
          <t xml:space="preserve">Khăn lạnh (4 lần)</t>
        </is>
      </c>
      <c r="C26" s="11"/>
      <c r="D26" s="11"/>
      <c r="E26" s="11"/>
      <c r="F26" s="12">
        <v>33</v>
      </c>
      <c r="G26" s="6" t="inlineStr">
        <is>
          <t xml:space="preserve">Bộ</t>
        </is>
      </c>
      <c r="H26" s="5">
        <v>3000</v>
      </c>
      <c r="I26" s="12">
        <v>4</v>
      </c>
      <c r="J26" s="5">
        <f>F26*H26*I26</f>
        <v>396000</v>
      </c>
      <c r="K26" s="5"/>
      <c r="L26" s="5"/>
      <c r="M26" s="6" t="inlineStr">
        <is>
          <t xml:space="preserve">KHÔNG VAT</t>
        </is>
      </c>
    </row>
    <row r="27">
      <c r="A27" s="10"/>
      <c r="B27" s="11" t="inlineStr">
        <is>
          <t xml:space="preserve">Bảo hiểm du lịch</t>
        </is>
      </c>
      <c r="C27" s="11"/>
      <c r="D27" s="11"/>
      <c r="E27" s="11"/>
      <c r="F27" s="12">
        <v>33</v>
      </c>
      <c r="G27" s="6" t="inlineStr">
        <is>
          <t xml:space="preserve">Pax</t>
        </is>
      </c>
      <c r="H27" s="5">
        <v>15000</v>
      </c>
      <c r="I27" s="12">
        <v>1</v>
      </c>
      <c r="J27" s="5">
        <f>F27*H27*I27</f>
        <v>495000</v>
      </c>
      <c r="K27" s="5"/>
      <c r="L27" s="5"/>
      <c r="M27" s="6" t="inlineStr">
        <is>
          <t xml:space="preserve">KHÔNG VAT</t>
        </is>
      </c>
    </row>
    <row r="28">
      <c r="A28" s="10"/>
      <c r="B28" s="11" t="inlineStr">
        <is>
          <t xml:space="preserve">Băng rôn đón đoàn</t>
        </is>
      </c>
      <c r="C28" s="11"/>
      <c r="D28" s="11"/>
      <c r="E28" s="11"/>
      <c r="F28" s="12">
        <v>1</v>
      </c>
      <c r="G28" s="6" t="inlineStr">
        <is>
          <t xml:space="preserve">Đoàn</t>
        </is>
      </c>
      <c r="H28" s="5">
        <v>300000</v>
      </c>
      <c r="I28" s="12">
        <v>1</v>
      </c>
      <c r="J28" s="5">
        <f>F28*H28*I28</f>
        <v>300000</v>
      </c>
      <c r="K28" s="5"/>
      <c r="L28" s="5"/>
      <c r="M28" s="6" t="inlineStr">
        <is>
          <t xml:space="preserve">KHÔNG VAT</t>
        </is>
      </c>
    </row>
    <row r="29">
      <c r="A29" s="13" t="inlineStr">
        <is>
          <t xml:space="preserve">Cộng chi phí - bao gồm VAT</t>
        </is>
      </c>
      <c r="B29" s="13"/>
      <c r="C29" s="13"/>
      <c r="D29" s="13"/>
      <c r="E29" s="13"/>
      <c r="F29" s="13"/>
      <c r="G29" s="13"/>
      <c r="H29" s="13"/>
      <c r="I29" s="13"/>
      <c r="J29" s="14">
        <f>SUM(J12:J28)</f>
        <v>107440000</v>
      </c>
    </row>
    <row r="30">
      <c r="A30" s="15" t="inlineStr">
        <is>
          <t xml:space="preserve">Tổng chi phí</t>
        </is>
      </c>
      <c r="B30" s="15"/>
      <c r="C30" s="15"/>
      <c r="D30" s="15"/>
      <c r="E30" s="15"/>
      <c r="F30" s="15"/>
      <c r="G30" s="15"/>
      <c r="H30" s="15"/>
      <c r="I30" s="15"/>
      <c r="J30" s="16">
        <f>J29</f>
        <v>107440000</v>
      </c>
    </row>
    <row r="31">
      <c r="A31" s="13" t="inlineStr">
        <is>
          <t xml:space="preserve">Giá vốn / khách (tổng khách)</t>
        </is>
      </c>
      <c r="B31" s="13"/>
      <c r="C31" s="13"/>
      <c r="D31" s="13"/>
      <c r="E31" s="13"/>
      <c r="F31" s="13"/>
      <c r="G31" s="13"/>
      <c r="H31" s="13"/>
      <c r="I31" s="13"/>
      <c r="J31" s="14">
        <f>IF(F3=0,0,J30/F3)</f>
        <v>3255757.5757575757</v>
      </c>
    </row>
    <row r="32">
      <c r="A32" s="13" t="inlineStr">
        <is>
          <t xml:space="preserve">Lợi nhuận đề nghị / khách (giá bán NL − giá vốn)</t>
        </is>
      </c>
      <c r="B32" s="13"/>
      <c r="C32" s="13"/>
      <c r="D32" s="13"/>
      <c r="E32" s="13"/>
      <c r="F32" s="13"/>
      <c r="G32" s="13"/>
      <c r="H32" s="13"/>
      <c r="I32" s="13"/>
      <c r="J32" s="14">
        <f>J34-J31</f>
        <v>1244242.4242424243</v>
      </c>
    </row>
    <row r="33">
      <c r="A33" s="13" t="inlineStr">
        <is>
          <t xml:space="preserve">Tỷ lệ lãi gộp (lợi nhuận / tổng doanh thu)</t>
        </is>
      </c>
      <c r="B33" s="13"/>
      <c r="C33" s="13"/>
      <c r="D33" s="13"/>
      <c r="E33" s="13"/>
      <c r="F33" s="13"/>
      <c r="G33" s="13"/>
      <c r="H33" s="13"/>
      <c r="I33" s="13"/>
      <c r="J33" s="17">
        <f>IF(J41=0,0,J42/J41)</f>
        <v>0.2764983164983165</v>
      </c>
    </row>
    <row r="34">
      <c r="A34" s="13" t="inlineStr">
        <is>
          <t xml:space="preserve">Giá bán (giá đề nghị)</t>
        </is>
      </c>
      <c r="B34" s="13"/>
      <c r="C34" s="13"/>
      <c r="D34" s="13"/>
      <c r="E34" s="13"/>
      <c r="F34" s="13"/>
      <c r="G34" s="13"/>
      <c r="H34" s="13"/>
      <c r="I34" s="13"/>
      <c r="J34" s="18">
        <v>4500000</v>
      </c>
      <c r="K34" s="18">
        <v>0</v>
      </c>
      <c r="L34" s="18">
        <v>0</v>
      </c>
    </row>
    <row r="35">
      <c r="A35" s="13" t="inlineStr">
        <is>
          <t xml:space="preserve">DOANH THU</t>
        </is>
      </c>
      <c r="B35" s="13"/>
      <c r="C35" s="13"/>
      <c r="D35" s="13"/>
      <c r="E35" s="13"/>
      <c r="F35" s="13"/>
      <c r="G35" s="13"/>
      <c r="H35" s="13"/>
      <c r="I35" s="13"/>
      <c r="J35" s="14">
        <f>J34*F4</f>
        <v>148500000</v>
      </c>
      <c r="K35" s="14">
        <f>K34*F5</f>
        <v>0</v>
      </c>
      <c r="L35" s="14">
        <f>L34*F6</f>
        <v>0</v>
      </c>
    </row>
    <row r="36">
      <c r="A36" s="13" t="inlineStr">
        <is>
          <t xml:space="preserve">PHỤ THU BIA GALA</t>
        </is>
      </c>
      <c r="B36" s="13"/>
      <c r="C36" s="13"/>
      <c r="D36" s="13"/>
      <c r="E36" s="13"/>
      <c r="F36" s="13"/>
      <c r="G36" s="13"/>
      <c r="H36" s="13"/>
      <c r="I36" s="13"/>
      <c r="J36" s="19">
        <v>0</v>
      </c>
    </row>
    <row r="37">
      <c r="A37" s="13" t="inlineStr">
        <is>
          <t xml:space="preserve">PHỤ THU NƯỚC NGỌT GALA</t>
        </is>
      </c>
      <c r="B37" s="13"/>
      <c r="C37" s="13"/>
      <c r="D37" s="13"/>
      <c r="E37" s="13"/>
      <c r="F37" s="13"/>
      <c r="G37" s="13"/>
      <c r="H37" s="13"/>
      <c r="I37" s="13"/>
      <c r="J37" s="19">
        <v>0</v>
      </c>
    </row>
    <row r="38">
      <c r="A38" s="13" t="inlineStr">
        <is>
          <t xml:space="preserve">PHỤ THU KHÁC</t>
        </is>
      </c>
      <c r="B38" s="13"/>
      <c r="C38" s="13"/>
      <c r="D38" s="13"/>
      <c r="E38" s="13"/>
      <c r="F38" s="13"/>
      <c r="G38" s="13"/>
      <c r="H38" s="13"/>
      <c r="I38" s="13"/>
      <c r="J38" s="19">
        <v>0</v>
      </c>
    </row>
    <row r="39">
      <c r="A39" s="13" t="inlineStr">
        <is>
          <t xml:space="preserve">CHIẾT KHẤU</t>
        </is>
      </c>
      <c r="B39" s="13"/>
      <c r="C39" s="13"/>
      <c r="D39" s="13"/>
      <c r="E39" s="13"/>
      <c r="F39" s="13"/>
      <c r="G39" s="13"/>
      <c r="H39" s="13"/>
      <c r="I39" s="13"/>
      <c r="J39" s="19">
        <v>0</v>
      </c>
    </row>
    <row r="40">
      <c r="A40" s="13" t="inlineStr">
        <is>
          <t xml:space="preserve">FOC KHÁCH (0 khách × giá NL)</t>
        </is>
      </c>
      <c r="B40" s="13"/>
      <c r="C40" s="13"/>
      <c r="D40" s="13"/>
      <c r="E40" s="13"/>
      <c r="F40" s="13"/>
      <c r="G40" s="13"/>
      <c r="H40" s="13"/>
      <c r="I40" s="13"/>
      <c r="J40" s="14">
        <f>-0*J34</f>
        <v>0</v>
      </c>
    </row>
    <row r="41">
      <c r="A41" s="15" t="inlineStr">
        <is>
          <t xml:space="preserve">TỔNG DOANH THU</t>
        </is>
      </c>
      <c r="B41" s="15"/>
      <c r="C41" s="15"/>
      <c r="D41" s="15"/>
      <c r="E41" s="15"/>
      <c r="F41" s="15"/>
      <c r="G41" s="15"/>
      <c r="H41" s="15"/>
      <c r="I41" s="15"/>
      <c r="J41" s="16">
        <f>J35+K35+L35+J36+J37+J38+J39+J40</f>
        <v>148500000</v>
      </c>
    </row>
    <row r="42">
      <c r="A42" s="15" t="inlineStr">
        <is>
          <t xml:space="preserve">LỢI NHUẬN</t>
        </is>
      </c>
      <c r="B42" s="15"/>
      <c r="C42" s="15"/>
      <c r="D42" s="15"/>
      <c r="E42" s="15"/>
      <c r="F42" s="15"/>
      <c r="G42" s="15"/>
      <c r="H42" s="15"/>
      <c r="I42" s="15"/>
      <c r="J42" s="16">
        <f>J41-J30</f>
        <v>41060000</v>
      </c>
    </row>
    <row r="44">
      <c r="A44" s="20" t="inlineStr">
        <is>
          <t xml:space="preserve">KHANHTRAVEL, 2026</t>
        </is>
      </c>
    </row>
    <row r="45">
      <c r="A45" s="21" t="inlineStr">
        <is>
          <t xml:space="preserve">Tổng Giám Đốc</t>
        </is>
      </c>
      <c r="B45" s="21"/>
      <c r="C45" s="21"/>
      <c r="D45" s="21" t="inlineStr">
        <is>
          <t xml:space="preserve">Sales Tour</t>
        </is>
      </c>
      <c r="E45" s="21"/>
      <c r="F45" s="21"/>
      <c r="G45" s="21"/>
      <c r="H45" s="21" t="inlineStr">
        <is>
          <t xml:space="preserve">Điều hành</t>
        </is>
      </c>
      <c r="I45" s="21"/>
      <c r="J45" s="21"/>
      <c r="K45" s="21"/>
      <c r="L45" s="21"/>
    </row>
    <row r="50">
      <c r="A50" s="22" t="inlineStr">
        <is>
          <t xml:space="preserve">Nguyễn Thị Thúy Vân</t>
        </is>
      </c>
      <c r="B50" s="22"/>
      <c r="C50" s="22"/>
      <c r="D50" s="22" t="inlineStr">
        <is>
          <t xml:space="preserve">Nguyễn A</t>
        </is>
      </c>
      <c r="E50" s="22"/>
      <c r="F50" s="22"/>
      <c r="G50" s="22"/>
      <c r="H50" s="22" t="inlineStr">
        <is>
          <t xml:space="preserve">Nguyễn B</t>
        </is>
      </c>
      <c r="I50" s="22"/>
      <c r="J50" s="22"/>
      <c r="K50" s="22"/>
      <c r="L50" s="22"/>
    </row>
  </sheetData>
  <mergeCells count="47">
    <mergeCell ref="A1:M1"/>
    <mergeCell ref="A2:M2"/>
    <mergeCell ref="B3:D3"/>
    <mergeCell ref="B4:D4"/>
    <mergeCell ref="B5:D5"/>
    <mergeCell ref="B6:D6"/>
    <mergeCell ref="H3:I3"/>
    <mergeCell ref="H4:I4"/>
    <mergeCell ref="H6:J6"/>
    <mergeCell ref="A10:E11"/>
    <mergeCell ref="A12:E12"/>
    <mergeCell ref="B13:E13"/>
    <mergeCell ref="B14:E14"/>
    <mergeCell ref="B15:E15"/>
    <mergeCell ref="B16:E16"/>
    <mergeCell ref="A17:E17"/>
    <mergeCell ref="B18:E18"/>
    <mergeCell ref="B19:E19"/>
    <mergeCell ref="A20:E20"/>
    <mergeCell ref="B21:E21"/>
    <mergeCell ref="B22:E22"/>
    <mergeCell ref="B23:E23"/>
    <mergeCell ref="B24:E24"/>
    <mergeCell ref="B25:E25"/>
    <mergeCell ref="B26:E26"/>
    <mergeCell ref="B27:E27"/>
    <mergeCell ref="B28:E28"/>
    <mergeCell ref="A29:I29"/>
    <mergeCell ref="A30:I30"/>
    <mergeCell ref="A31:I31"/>
    <mergeCell ref="A32:I32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A33:I33"/>
    <mergeCell ref="A45:C45"/>
    <mergeCell ref="D45:G45"/>
    <mergeCell ref="H45:L45"/>
    <mergeCell ref="A50:C50"/>
    <mergeCell ref="D50:G50"/>
    <mergeCell ref="H50:L50"/>
  </mergeCells>
  <pageMargins left="0.4" right="0.4" top="0.5" bottom="0.5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/>
  </sheetViews>
  <sheetFormatPr defaultRowHeight="15"/>
  <cols>
    <col min="1" max="1" width="34" customWidth="1"/>
    <col min="2" max="2" width="90" customWidth="1"/>
  </cols>
  <sheetData>
    <row r="1">
      <c r="A1" s="23" t="inlineStr">
        <is>
          <t xml:space="preserve">Quy ước tính toán</t>
        </is>
      </c>
      <c r="B1" s="24"/>
    </row>
    <row r="2">
      <c r="A2" s="25" t="inlineStr">
        <is>
          <t xml:space="preserve">Thành tiền</t>
        </is>
      </c>
      <c r="B2" s="11" t="inlineStr">
        <is>
          <t xml:space="preserve">= Số lượng × Giá vốn × Hệ số (cột J).</t>
        </is>
      </c>
    </row>
    <row r="3">
      <c r="A3" s="25" t="inlineStr">
        <is>
          <t xml:space="preserve">Giá vốn</t>
        </is>
      </c>
      <c r="B3" s="11" t="inlineStr">
        <is>
          <t xml:space="preserve">Đã gồm VAT. Dòng nhập giá chưa VAT được quy đổi: giá × (1 + VAT%), hiển thị bằng công thức màu xanh.</t>
        </is>
      </c>
    </row>
    <row r="4">
      <c r="A4" s="25" t="inlineStr">
        <is>
          <t xml:space="preserve">Giá vốn / khách</t>
        </is>
      </c>
      <c r="B4" s="11" t="inlineStr">
        <is>
          <t xml:space="preserve">Tổng chi phí chia cho số khách theo quy tắc đã chọn ở tab Giá &amp; lợi nhuận.</t>
        </is>
      </c>
    </row>
    <row r="5">
      <c r="A5" s="25" t="inlineStr">
        <is>
          <t xml:space="preserve">Tổng doanh thu</t>
        </is>
      </c>
      <c r="B5" s="11" t="inlineStr">
        <is>
          <t xml:space="preserve">Doanh thu NL + TE + INF + phụ thu − chiết khấu − FOC khách.</t>
        </is>
      </c>
    </row>
    <row r="6">
      <c r="A6" s="25" t="inlineStr">
        <is>
          <t xml:space="preserve">Lợi nhuận</t>
        </is>
      </c>
      <c r="B6" s="11" t="inlineStr">
        <is>
          <t xml:space="preserve">Tổng doanh thu − Tổng chi phí.</t>
        </is>
      </c>
    </row>
    <row r="7">
      <c r="A7" s="25" t="inlineStr">
        <is>
          <t xml:space="preserve">Tỷ lệ lãi gộp</t>
        </is>
      </c>
      <c r="B7" s="11" t="inlineStr">
        <is>
          <t xml:space="preserve">Lợi nhuận / Tổng doanh thu.</t>
        </is>
      </c>
    </row>
    <row r="8">
      <c r="A8" s="25" t="inlineStr">
        <is>
          <t xml:space="preserve">Chữ màu xanh</t>
        </is>
      </c>
      <c r="B8" s="11" t="inlineStr">
        <is>
          <t xml:space="preserve">Số liệu nhập vào (giá vốn quy đổi, giá bán, phụ thu). Sửa các ô này, Excel tự tính lại thành tiền, doanh thu và lợi nhuận.</t>
        </is>
      </c>
    </row>
  </sheetData>
  <pageMargins left="0.4" right="0.4" top="0.5" bottom="0.5" header="0.3" footer="0.3"/>
  <pageSetup paperSize="9" orientation="portrait" fitToWidth="1" fitToHeight="0"/>
</worksheet>
</file>